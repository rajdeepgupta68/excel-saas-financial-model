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CD78752B-5915-4B95-BCB6-6700190B346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Assumptions" sheetId="1" r:id="rId1"/>
    <sheet name="P&amp;L" sheetId="2" r:id="rId2"/>
    <sheet name="CashFlow" sheetId="3" r:id="rId3"/>
    <sheet name="Dashboard" sheetId="4" r:id="rId4"/>
    <sheet name="Variance" sheetId="5" r:id="rId5"/>
  </sheets>
  <definedNames>
    <definedName name="Assumptions">Assumptions!$E$4:$E$11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4" l="1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C4" i="3"/>
  <c r="C5" i="3"/>
  <c r="C9" i="3"/>
  <c r="C10" i="3"/>
  <c r="C13" i="3"/>
  <c r="C14" i="3"/>
  <c r="B17" i="3"/>
  <c r="B14" i="3"/>
  <c r="B13" i="3"/>
  <c r="B10" i="3"/>
  <c r="B9" i="3"/>
  <c r="B5" i="3"/>
  <c r="B4" i="3"/>
  <c r="E5" i="1"/>
  <c r="E6" i="1"/>
  <c r="E7" i="1"/>
  <c r="E8" i="1"/>
  <c r="E9" i="1"/>
  <c r="E10" i="1"/>
  <c r="E11" i="1"/>
  <c r="E4" i="1"/>
  <c r="B2" i="2" s="1"/>
  <c r="B12" i="5" l="1" a="1"/>
  <c r="B12" i="5" s="1"/>
  <c r="C12" i="5" a="1"/>
  <c r="C12" i="5" s="1"/>
  <c r="D12" i="5" a="1"/>
  <c r="D12" i="5" s="1"/>
  <c r="E12" i="5" a="1"/>
  <c r="E12" i="5" s="1"/>
  <c r="B13" i="5" a="1"/>
  <c r="B13" i="5" s="1"/>
  <c r="C13" i="5" a="1"/>
  <c r="C13" i="5" s="1"/>
  <c r="D13" i="5" a="1"/>
  <c r="D13" i="5" s="1"/>
  <c r="E13" i="5" a="1"/>
  <c r="E13" i="5" s="1"/>
  <c r="B14" i="5" a="1"/>
  <c r="B14" i="5" s="1"/>
  <c r="C14" i="5" a="1"/>
  <c r="C14" i="5" s="1"/>
  <c r="D14" i="5" a="1"/>
  <c r="D14" i="5" s="1"/>
  <c r="E14" i="5" a="1"/>
  <c r="E14" i="5" s="1"/>
  <c r="B15" i="5" a="1"/>
  <c r="B15" i="5" s="1"/>
  <c r="C15" i="5" a="1"/>
  <c r="C15" i="5" s="1"/>
  <c r="D15" i="5" a="1"/>
  <c r="D15" i="5" s="1"/>
  <c r="E15" i="5" a="1"/>
  <c r="E15" i="5" s="1"/>
  <c r="B3" i="2"/>
  <c r="B4" i="2" s="1"/>
  <c r="D10" i="2"/>
  <c r="E10" i="2"/>
  <c r="F10" i="2"/>
  <c r="G10" i="2"/>
  <c r="H10" i="2"/>
  <c r="I10" i="2"/>
  <c r="J10" i="2"/>
  <c r="K10" i="2"/>
  <c r="L10" i="2"/>
  <c r="M10" i="2"/>
  <c r="C10" i="2"/>
  <c r="B10" i="2"/>
  <c r="D9" i="2"/>
  <c r="E9" i="2"/>
  <c r="F9" i="2"/>
  <c r="G9" i="2"/>
  <c r="H9" i="2"/>
  <c r="I9" i="2"/>
  <c r="J9" i="2"/>
  <c r="K9" i="2"/>
  <c r="L9" i="2"/>
  <c r="M9" i="2"/>
  <c r="C9" i="2"/>
  <c r="B9" i="2"/>
  <c r="D8" i="2"/>
  <c r="D11" i="2" s="1"/>
  <c r="E8" i="2"/>
  <c r="E11" i="2" s="1"/>
  <c r="F8" i="2"/>
  <c r="F11" i="2" s="1"/>
  <c r="G8" i="2"/>
  <c r="G11" i="2" s="1"/>
  <c r="H8" i="2"/>
  <c r="H11" i="2" s="1"/>
  <c r="I8" i="2"/>
  <c r="I11" i="2" s="1"/>
  <c r="J8" i="2"/>
  <c r="J11" i="2" s="1"/>
  <c r="K8" i="2"/>
  <c r="K11" i="2" s="1"/>
  <c r="L8" i="2"/>
  <c r="L11" i="2" s="1"/>
  <c r="M8" i="2"/>
  <c r="M11" i="2" s="1"/>
  <c r="C8" i="2"/>
  <c r="C11" i="2" s="1"/>
  <c r="B8" i="2"/>
  <c r="B11" i="2" s="1"/>
  <c r="B5" i="5" s="1"/>
  <c r="C5" i="5" s="1"/>
  <c r="D5" i="5" s="1"/>
  <c r="F5" i="5" l="1"/>
  <c r="E5" i="5"/>
  <c r="B5" i="2"/>
  <c r="B7" i="4"/>
  <c r="C2" i="2"/>
  <c r="C3" i="2" s="1"/>
  <c r="C4" i="2" s="1"/>
  <c r="B6" i="2"/>
  <c r="C5" i="2" l="1"/>
  <c r="B8" i="4"/>
  <c r="B13" i="2"/>
  <c r="F7" i="4"/>
  <c r="B14" i="2"/>
  <c r="B15" i="2" s="1"/>
  <c r="D2" i="2"/>
  <c r="C6" i="2"/>
  <c r="C13" i="2" l="1"/>
  <c r="F8" i="4"/>
  <c r="C7" i="4"/>
  <c r="B3" i="3"/>
  <c r="B6" i="3" s="1"/>
  <c r="B16" i="3" s="1"/>
  <c r="B18" i="3" s="1"/>
  <c r="C17" i="3" s="1"/>
  <c r="D3" i="2"/>
  <c r="D4" i="2"/>
  <c r="D5" i="2" l="1"/>
  <c r="B9" i="4"/>
  <c r="C14" i="2"/>
  <c r="C15" i="2" s="1"/>
  <c r="C8" i="4"/>
  <c r="C3" i="3"/>
  <c r="C6" i="3" s="1"/>
  <c r="C16" i="3" s="1"/>
  <c r="C18" i="3" s="1"/>
  <c r="D17" i="3" s="1"/>
  <c r="E2" i="2"/>
  <c r="D6" i="2"/>
  <c r="D13" i="2" l="1"/>
  <c r="F9" i="4"/>
  <c r="D14" i="2"/>
  <c r="D15" i="2"/>
  <c r="E3" i="2"/>
  <c r="E4" i="2"/>
  <c r="E5" i="2" l="1"/>
  <c r="B10" i="4"/>
  <c r="C9" i="4"/>
  <c r="D3" i="3"/>
  <c r="D6" i="3" s="1"/>
  <c r="D16" i="3" s="1"/>
  <c r="D18" i="3" s="1"/>
  <c r="E17" i="3" s="1"/>
  <c r="F2" i="2"/>
  <c r="E6" i="2"/>
  <c r="E13" i="2" l="1"/>
  <c r="F10" i="4"/>
  <c r="E14" i="2"/>
  <c r="E15" i="2"/>
  <c r="F3" i="2"/>
  <c r="F4" i="2"/>
  <c r="F5" i="2" l="1"/>
  <c r="B11" i="4"/>
  <c r="C10" i="4"/>
  <c r="E3" i="3"/>
  <c r="E6" i="3" s="1"/>
  <c r="E16" i="3" s="1"/>
  <c r="E18" i="3" s="1"/>
  <c r="F17" i="3" s="1"/>
  <c r="G2" i="2"/>
  <c r="F6" i="2"/>
  <c r="F13" i="2" l="1"/>
  <c r="F11" i="4"/>
  <c r="F14" i="2"/>
  <c r="F15" i="2"/>
  <c r="G3" i="2"/>
  <c r="G4" i="2"/>
  <c r="G5" i="2" l="1"/>
  <c r="B12" i="4"/>
  <c r="C11" i="4"/>
  <c r="F3" i="3"/>
  <c r="F6" i="3" s="1"/>
  <c r="F16" i="3" s="1"/>
  <c r="F18" i="3" s="1"/>
  <c r="G17" i="3" s="1"/>
  <c r="H2" i="2"/>
  <c r="G6" i="2"/>
  <c r="G13" i="2" l="1"/>
  <c r="F12" i="4"/>
  <c r="G14" i="2"/>
  <c r="G15" i="2"/>
  <c r="H3" i="2"/>
  <c r="H4" i="2"/>
  <c r="H5" i="2" l="1"/>
  <c r="B13" i="4"/>
  <c r="C12" i="4"/>
  <c r="G3" i="3"/>
  <c r="G6" i="3" s="1"/>
  <c r="G16" i="3" s="1"/>
  <c r="G18" i="3" s="1"/>
  <c r="H17" i="3" s="1"/>
  <c r="I2" i="2"/>
  <c r="H6" i="2"/>
  <c r="H13" i="2" l="1"/>
  <c r="F13" i="4"/>
  <c r="H14" i="2"/>
  <c r="H15" i="2"/>
  <c r="I3" i="2"/>
  <c r="I4" i="2"/>
  <c r="I5" i="2" l="1"/>
  <c r="B14" i="4"/>
  <c r="C13" i="4"/>
  <c r="H3" i="3"/>
  <c r="H6" i="3" s="1"/>
  <c r="H16" i="3" s="1"/>
  <c r="H18" i="3" s="1"/>
  <c r="I17" i="3" s="1"/>
  <c r="J2" i="2"/>
  <c r="I6" i="2"/>
  <c r="I13" i="2" l="1"/>
  <c r="F14" i="4"/>
  <c r="I14" i="2"/>
  <c r="I15" i="2"/>
  <c r="J3" i="2"/>
  <c r="J4" i="2"/>
  <c r="J5" i="2" l="1"/>
  <c r="B15" i="4"/>
  <c r="C14" i="4"/>
  <c r="I3" i="3"/>
  <c r="I6" i="3" s="1"/>
  <c r="I16" i="3" s="1"/>
  <c r="I18" i="3" s="1"/>
  <c r="J17" i="3" s="1"/>
  <c r="K2" i="2"/>
  <c r="J6" i="2"/>
  <c r="J13" i="2" l="1"/>
  <c r="F15" i="4"/>
  <c r="J14" i="2"/>
  <c r="J15" i="2"/>
  <c r="K3" i="2"/>
  <c r="K4" i="2"/>
  <c r="K5" i="2" l="1"/>
  <c r="B16" i="4"/>
  <c r="C15" i="4"/>
  <c r="J3" i="3"/>
  <c r="J6" i="3" s="1"/>
  <c r="J16" i="3" s="1"/>
  <c r="J18" i="3" s="1"/>
  <c r="K17" i="3" s="1"/>
  <c r="L2" i="2"/>
  <c r="K6" i="2"/>
  <c r="K13" i="2" l="1"/>
  <c r="F16" i="4"/>
  <c r="K14" i="2"/>
  <c r="K15" i="2"/>
  <c r="L3" i="2"/>
  <c r="L4" i="2"/>
  <c r="L5" i="2" l="1"/>
  <c r="B17" i="4"/>
  <c r="C16" i="4"/>
  <c r="K3" i="3"/>
  <c r="K6" i="3" s="1"/>
  <c r="K16" i="3" s="1"/>
  <c r="K18" i="3" s="1"/>
  <c r="L17" i="3" s="1"/>
  <c r="M2" i="2"/>
  <c r="L6" i="2"/>
  <c r="L13" i="2" l="1"/>
  <c r="F17" i="4"/>
  <c r="L14" i="2"/>
  <c r="L15" i="2"/>
  <c r="M3" i="2"/>
  <c r="M4" i="2"/>
  <c r="M5" i="2" l="1"/>
  <c r="B3" i="5" s="1"/>
  <c r="C3" i="5" s="1"/>
  <c r="D3" i="5" s="1"/>
  <c r="B18" i="4"/>
  <c r="B2" i="5"/>
  <c r="C2" i="5" s="1"/>
  <c r="B3" i="4"/>
  <c r="C17" i="4"/>
  <c r="L3" i="3"/>
  <c r="L6" i="3" s="1"/>
  <c r="L16" i="3" s="1"/>
  <c r="L18" i="3" s="1"/>
  <c r="M17" i="3" s="1"/>
  <c r="M6" i="2"/>
  <c r="B4" i="5" s="1"/>
  <c r="D2" i="5" l="1"/>
  <c r="C4" i="5"/>
  <c r="F3" i="5"/>
  <c r="E3" i="5"/>
  <c r="M13" i="2"/>
  <c r="B6" i="5" s="1"/>
  <c r="F18" i="4"/>
  <c r="D3" i="4"/>
  <c r="M14" i="2"/>
  <c r="M15" i="2"/>
  <c r="B7" i="5" s="1"/>
  <c r="D4" i="5" l="1"/>
  <c r="C6" i="5"/>
  <c r="F2" i="5"/>
  <c r="E2" i="5"/>
  <c r="C18" i="4"/>
  <c r="M3" i="3"/>
  <c r="M6" i="3" s="1"/>
  <c r="M16" i="3" s="1"/>
  <c r="M18" i="3" s="1"/>
  <c r="H3" i="4" s="1"/>
  <c r="F3" i="4"/>
  <c r="D6" i="5" l="1"/>
  <c r="C7" i="5"/>
  <c r="D7" i="5" s="1"/>
  <c r="F4" i="5"/>
  <c r="E4" i="5"/>
  <c r="F7" i="5" l="1"/>
  <c r="E7" i="5"/>
  <c r="F6" i="5"/>
  <c r="E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<sst xmlns="http://schemas.openxmlformats.org/spreadsheetml/2006/main" count="118" uniqueCount="70">
  <si>
    <t>Scenario</t>
  </si>
  <si>
    <t>Best</t>
  </si>
  <si>
    <t>Assumption</t>
  </si>
  <si>
    <t>Base</t>
  </si>
  <si>
    <t>Worst</t>
  </si>
  <si>
    <t>Selected</t>
  </si>
  <si>
    <t>Starting MRR(£)</t>
  </si>
  <si>
    <t>Monthly Revenue Growth%</t>
  </si>
  <si>
    <t>Churn Rate%</t>
  </si>
  <si>
    <t>COGS% of Revenue</t>
  </si>
  <si>
    <t>R&amp;D Expenses (£/month)</t>
  </si>
  <si>
    <t>Sales &amp; Marketing (£/month)</t>
  </si>
  <si>
    <t>G&amp;A Expenses (£/month)</t>
  </si>
  <si>
    <t>Tax Rate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</si>
  <si>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</si>
  <si>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</si>
  <si>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</si>
  <si>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</si>
  <si>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</si>
  <si>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</si>
  <si>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</si>
  <si>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</si>
  <si>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</si>
  <si>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</si>
  <si>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</si>
  <si>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</si>
  <si>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</si>
  <si>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Churn Loss</t>
  </si>
  <si>
    <t>Net Revenue</t>
  </si>
  <si>
    <t>COGS</t>
  </si>
  <si>
    <t>Gross Profit</t>
  </si>
  <si>
    <t>R&amp;D</t>
  </si>
  <si>
    <t>Sales &amp; Marketing</t>
  </si>
  <si>
    <t>G&amp;A</t>
  </si>
  <si>
    <t>Total OpEx</t>
  </si>
  <si>
    <t>EBITDA</t>
  </si>
  <si>
    <t>Tax</t>
  </si>
  <si>
    <t>Net Income</t>
  </si>
  <si>
    <t>Operating Cash Flow</t>
  </si>
  <si>
    <t>Add back: Non-cash items</t>
  </si>
  <si>
    <t>Changes in Working Capital</t>
  </si>
  <si>
    <t>Total Operating CF</t>
  </si>
  <si>
    <t>Investing Activities</t>
  </si>
  <si>
    <t>Capex/Software Investment</t>
  </si>
  <si>
    <t>Total Investing CF</t>
  </si>
  <si>
    <t>Financing Activities</t>
  </si>
  <si>
    <t>Equity/Funding Raised</t>
  </si>
  <si>
    <t>Total Financing CF</t>
  </si>
  <si>
    <t>Net Cash Movement</t>
  </si>
  <si>
    <t>Opening Cash Balance</t>
  </si>
  <si>
    <t>Closing Cash Balance</t>
  </si>
  <si>
    <t>Total Annual Revenue</t>
  </si>
  <si>
    <t>Gross Profit Margin</t>
  </si>
  <si>
    <t>Closing Cash (Dec)</t>
  </si>
  <si>
    <t>Month</t>
  </si>
  <si>
    <t>Gross Margin %</t>
  </si>
  <si>
    <t>Budget</t>
  </si>
  <si>
    <t>Actuals</t>
  </si>
  <si>
    <t>Variance(£)</t>
  </si>
  <si>
    <t>Variance(%)</t>
  </si>
  <si>
    <t>Favourable?</t>
  </si>
  <si>
    <t xml:space="preserve">Sensitivity: Net Income by Growth Rate vs COGS % </t>
  </si>
  <si>
    <t>20% COGS</t>
  </si>
  <si>
    <t>30% COGS</t>
  </si>
  <si>
    <t>40% COGS</t>
  </si>
  <si>
    <t>50% COGS</t>
  </si>
  <si>
    <t>2% Growth</t>
  </si>
  <si>
    <t>5% Growth</t>
  </si>
  <si>
    <t>8% Growth</t>
  </si>
  <si>
    <t>10%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</si>
</sst>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0" fillId="0" borderId="0" xfId="0" applyNumberFormat="1"/>
    <xf numFmtId="9" fontId="0" fillId="0" borderId="0" xfId="0" applyNumberFormat="1"/>
    <xf numFmtId="0" fontId="0" fillId="2" borderId="0" xfId="0" applyFill="1"/>
    <xf numFmtId="164" fontId="1" fillId="0" borderId="0" xfId="0" applyNumberFormat="1" applyFont="1"/>
    <xf numFmtId="164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0" fontId="0" fillId="0" borderId="1" xfId="0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2" fillId="0" borderId="0" xfId="0" applyFont="1"/>
    <xf numFmtId="0" fontId="0" fillId="4" borderId="0" xfId="0" applyFill="1"/>
    <xf numFmtId="164" fontId="2" fillId="4" borderId="0" xfId="0" applyNumberFormat="1" applyFont="1" applyFill="1"/>
    <xf numFmtId="0" fontId="0" fillId="5" borderId="0" xfId="0" applyFill="1"/>
    <xf numFmtId="10" fontId="2" fillId="5" borderId="0" xfId="0" applyNumberFormat="1" applyFont="1" applyFill="1"/>
    <xf numFmtId="0" fontId="0" fillId="6" borderId="0" xfId="0" applyFill="1"/>
    <xf numFmtId="164" fontId="2" fillId="6" borderId="0" xfId="0" applyNumberFormat="1" applyFont="1" applyFill="1"/>
    <xf numFmtId="0" fontId="0" fillId="7" borderId="0" xfId="0" applyFill="1"/>
    <xf numFmtId="164" fontId="2" fillId="7" borderId="0" xfId="0" applyNumberFormat="1" applyFont="1" applyFill="1"/>
    <xf numFmtId="0" fontId="0" fillId="0" borderId="2" xfId="0" applyBorder="1"/>
    <xf numFmtId="164" fontId="0" fillId="0" borderId="2" xfId="0" applyNumberFormat="1" applyBorder="1"/>
    <xf numFmtId="164" fontId="0" fillId="0" borderId="2" xfId="0" quotePrefix="1" applyNumberFormat="1" applyBorder="1"/>
    <xf numFmtId="0" fontId="0" fillId="0" borderId="2" xfId="0" applyBorder="1" applyAlignment="1">
      <alignment wrapText="1"/>
    </xf>
    <xf numFmtId="10" fontId="0" fillId="0" borderId="2" xfId="0" applyNumberFormat="1" applyBorder="1"/>
    <xf numFmtId="0" fontId="3" fillId="0" borderId="0" xfId="0" applyFont="1"/>
    <xf numFmtId="0" fontId="4" fillId="0" borderId="0" xfId="0" applyFont="1" applyAlignment="1">
      <alignment wrapText="1"/>
    </xf>
    <xf numFmtId="0" fontId="0" fillId="0" borderId="3" xfId="0" applyBorder="1"/>
    <xf numFmtId="9" fontId="0" fillId="0" borderId="1" xfId="0" applyNumberFormat="1" applyBorder="1"/>
    <xf numFmtId="9" fontId="0" fillId="0" borderId="2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vs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Dashboard!$B$7:$B$18</c:f>
              <c:numCache>
                <c:formatCode>[$£-809]#,##0</c:formatCode>
                <c:ptCount val="12"/>
                <c:pt idx="0">
                  <c:v>49000</c:v>
                </c:pt>
                <c:pt idx="1">
                  <c:v>51861.599999999999</c:v>
                </c:pt>
                <c:pt idx="2">
                  <c:v>54890.317440000006</c:v>
                </c:pt>
                <c:pt idx="3">
                  <c:v>58095.911978496006</c:v>
                </c:pt>
                <c:pt idx="4">
                  <c:v>61488.713238040174</c:v>
                </c:pt>
                <c:pt idx="5">
                  <c:v>65079.654091141718</c:v>
                </c:pt>
                <c:pt idx="6">
                  <c:v>68880.305890064395</c:v>
                </c:pt>
                <c:pt idx="7">
                  <c:v>72902.915754044167</c:v>
                </c:pt>
                <c:pt idx="8">
                  <c:v>77160.446034080349</c:v>
                </c:pt>
                <c:pt idx="9">
                  <c:v>81666.616082470646</c:v>
                </c:pt>
                <c:pt idx="10">
                  <c:v>86435.946461686937</c:v>
                </c:pt>
                <c:pt idx="11">
                  <c:v>91483.805735049449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4F6-846B-7F5F6ADB0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7466887"/>
        <c:axId val="897479687"/>
      </c:barChart>
      <c:lineChart>
        <c:grouping val="standard"/>
        <c:varyColors val="0"/>
        <c:ser>
          <c:idx val="1"/>
          <c:order val="1"/>
          <c:tx>
            <c:strRef>
              <c:f>Dashboard!$C$6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Dashboard!$C$7:$C$18</c:f>
              <c:numCache>
                <c:formatCode>[$£-809]#,##0</c:formatCode>
                <c:ptCount val="12"/>
                <c:pt idx="0">
                  <c:v>13122</c:v>
                </c:pt>
                <c:pt idx="1">
                  <c:v>14934.308903999996</c:v>
                </c:pt>
                <c:pt idx="2">
                  <c:v>16850.003386867204</c:v>
                </c:pt>
                <c:pt idx="3">
                  <c:v>18874.977895957665</c:v>
                </c:pt>
                <c:pt idx="4">
                  <c:v>21015.462747358779</c:v>
                </c:pt>
                <c:pt idx="5">
                  <c:v>23278.043251990708</c:v>
                </c:pt>
                <c:pt idx="6">
                  <c:v>25669.679930136015</c:v>
                </c:pt>
                <c:pt idx="7">
                  <c:v>28197.72987629519</c:v>
                </c:pt>
                <c:pt idx="8">
                  <c:v>30869.969339783227</c:v>
                </c:pt>
                <c:pt idx="9">
                  <c:v>33694.617590199763</c:v>
                </c:pt>
                <c:pt idx="10">
                  <c:v>36680.362140833466</c:v>
                </c:pt>
                <c:pt idx="11">
                  <c:v>39836.385407212751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B-44F6-846B-7F5F6ADB0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466887"/>
        <c:axId val="897479687"/>
      </c:lineChart>
      <c:catAx>
        <c:axId val="89746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79687"/>
        <c:crosses val="autoZero"/>
        <c:auto val="1"/>
        <c:lblAlgn val="ctr"/>
        <c:lblOffset val="100"/>
        <c:noMultiLvlLbl val="0"/>
      </c:catAx>
      <c:valAx>
        <c:axId val="897479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66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Dashboard!$F$6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Dashboard!$E$7:$E$18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Dashboard!$F$7:$F$18</c:f>
              <c:numCache>
                <c:formatCode>0.00%</c:formatCode>
                <c:ptCount val="12"/>
                <c:pt idx="0">
                  <c:v>0.8</c:v>
                </c:pt>
                <c:pt idx="1">
                  <c:v>0.79899999999999993</c:v>
                </c:pt>
                <c:pt idx="2">
                  <c:v>0.79800000000000004</c:v>
                </c:pt>
                <c:pt idx="3">
                  <c:v>0.79699999999999993</c:v>
                </c:pt>
                <c:pt idx="4">
                  <c:v>0.79599999999999993</c:v>
                </c:pt>
                <c:pt idx="5">
                  <c:v>0.79499999999999993</c:v>
                </c:pt>
                <c:pt idx="6">
                  <c:v>0.79399999999999993</c:v>
                </c:pt>
                <c:pt idx="7">
                  <c:v>0.79300000000000004</c:v>
                </c:pt>
                <c:pt idx="8">
                  <c:v>0.79200000000000004</c:v>
                </c:pt>
                <c:pt idx="9">
                  <c:v>0.79099999999999993</c:v>
                </c:pt>
                <c:pt idx="10">
                  <c:v>0.78999999999999992</c:v>
                </c:pt>
                <c:pt idx="11">
                  <c:v>0.78900000000000003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0-4FA4-BD4B-74A74A887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390920"/>
        <c:axId val="1516395016"/>
      </c:lineChart>
      <c:catAx>
        <c:axId val="1516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95016"/>
        <c:crosses val="autoZero"/>
        <c:auto val="1"/>
        <c:lblAlgn val="ctr"/>
        <c:lblOffset val="100"/>
        <c:noMultiLvlLbl val="0"/>
      </c:catAx>
      <c:valAx>
        <c:axId val="151639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180975</xdr:rowOff>
    </xdr:from>
    <xdr:to>
      <xdr:col>5</xdr:col>
      <xdr:colOff>95250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5FB10-175C-C74B-3452-C2FFC01C4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18</xdr:row>
      <xdr:rowOff>180975</xdr:rowOff>
    </xdr:from>
    <xdr:to>
      <xdr:col>11</xdr:col>
      <xdr:colOff>123825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D5AEC5-46F6-3F72-3B53-47E7B1625744}"/>
            </a:ext>
            <a:ext uri="{147F2762-F138-4A5C-976F-8EAC2B608ADB}">
              <a16:predDERef xmlns:a16="http://schemas.microsoft.com/office/drawing/2014/main" pred="{2AC5FB10-175C-C74B-3452-C2FFC01C4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" sqref="C1"/>
    </sheetView>
  </sheetViews>
  <sheetFormatPr defaultRowHeight="15"/>
  <cols>
    <col min="1" max="1" width="26.140625" bestFit="1" customWidth="1"/>
  </cols>
  <sheetData>
    <row r="1" spans="1:5">
      <c r="B1" t="s">
        <v>0</v>
      </c>
      <c r="C1" t="s">
        <v>1</v>
      </c>
    </row>
    <row r="3" spans="1: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</row>
    <row r="4" spans="1:5">
      <c r="A4" t="s">
        <v>6</v>
      </c>
      <c r="B4" s="2">
        <v>50000</v>
      </c>
      <c r="C4" s="2">
        <v>50000</v>
      </c>
      <c r="D4" s="2">
        <v>50000</v>
      </c>
      <c r="E4" s="4">
        <f>CHOOSE(MATCH($C$1,{"Best","Base","Worst"},0),B4,C4,D4)</f>
        <v>50000</v>
      </c>
    </row>
    <row r="5" spans="1:5">
      <c r="A5" t="s">
        <v>7</v>
      </c>
      <c r="B5" s="3">
        <v>0.08</v>
      </c>
      <c r="C5" s="3">
        <v>0.05</v>
      </c>
      <c r="D5" s="3">
        <v>0.02</v>
      </c>
      <c r="E5" s="4">
        <f>CHOOSE(MATCH($C$1,{"Best","Base","Worst"},0),B5,C5,D5)</f>
        <v>0.08</v>
      </c>
    </row>
    <row r="6" spans="1:5">
      <c r="A6" t="s">
        <v>8</v>
      </c>
      <c r="B6" s="3">
        <v>0.02</v>
      </c>
      <c r="C6" s="3">
        <v>0.05</v>
      </c>
      <c r="D6" s="3">
        <v>0.1</v>
      </c>
      <c r="E6" s="4">
        <f>CHOOSE(MATCH($C$1,{"Best","Base","Worst"},0),B6,C6,D6)</f>
        <v>0.02</v>
      </c>
    </row>
    <row r="7" spans="1:5">
      <c r="A7" t="s">
        <v>9</v>
      </c>
      <c r="B7" s="3">
        <v>0.2</v>
      </c>
      <c r="C7" s="3">
        <v>0.3</v>
      </c>
      <c r="D7" s="3">
        <v>0.4</v>
      </c>
      <c r="E7" s="4">
        <f>CHOOSE(MATCH($C$1,{"Best","Base","Worst"},0),B7,C7,D7)</f>
        <v>0.2</v>
      </c>
    </row>
    <row r="8" spans="1:5">
      <c r="A8" t="s">
        <v>10</v>
      </c>
      <c r="B8" s="2">
        <v>8000</v>
      </c>
      <c r="C8" s="2">
        <v>12000</v>
      </c>
      <c r="D8" s="2">
        <v>18000</v>
      </c>
      <c r="E8" s="4">
        <f>CHOOSE(MATCH($C$1,{"Best","Base","Worst"},0),B8,C8,D8)</f>
        <v>8000</v>
      </c>
    </row>
    <row r="9" spans="1:5">
      <c r="A9" t="s">
        <v>11</v>
      </c>
      <c r="B9" s="2">
        <v>10000</v>
      </c>
      <c r="C9" s="2">
        <v>15000</v>
      </c>
      <c r="D9" s="2">
        <v>22000</v>
      </c>
      <c r="E9" s="4">
        <f>CHOOSE(MATCH($C$1,{"Best","Base","Worst"},0),B9,C9,D9)</f>
        <v>10000</v>
      </c>
    </row>
    <row r="10" spans="1:5">
      <c r="A10" t="s">
        <v>12</v>
      </c>
      <c r="B10" s="2">
        <v>5000</v>
      </c>
      <c r="C10" s="2">
        <v>7000</v>
      </c>
      <c r="D10" s="2">
        <v>10000</v>
      </c>
      <c r="E10" s="4">
        <f>CHOOSE(MATCH($C$1,{"Best","Base","Worst"},0),B10,C10,D10)</f>
        <v>5000</v>
      </c>
    </row>
    <row r="11" spans="1:5">
      <c r="A11" t="s">
        <v>13</v>
      </c>
      <c r="B11" s="3">
        <v>0.19</v>
      </c>
      <c r="C11" s="3">
        <v>0.19</v>
      </c>
      <c r="D11" s="3">
        <v>0.19</v>
      </c>
      <c r="E11" s="4">
        <f>CHOOSE(MATCH($C$1,{"Best","Base","Worst"},0),B11,C11,D11)</f>
        <v>0.19</v>
      </c>
    </row>
  </sheetData>
  <dataValidations count="1">
    <dataValidation type="list" allowBlank="1" showInputMessage="1" showErrorMessage="1" sqref="C1" xr:uid="{CCEB0C1B-C817-4466-8C2A-FE2DF9AB9AFE}">
      <formula1>"Best,Base,Worst"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606C-F3C0-4345-8FC2-AF3B1E3035E7}">
  <dimension ref="A1:M15"/>
  <sheetViews>
    <sheetView topLeftCell="D1" workbookViewId="0">
      <selection activeCell="K25" sqref="K25"/>
    </sheetView>
  </sheetViews>
  <sheetFormatPr defaultRowHeight="15"/>
  <cols>
    <col min="1" max="1" width="16.7109375" bestFit="1" customWidth="1"/>
    <col min="2" max="4" width="11.28515625" bestFit="1" customWidth="1"/>
    <col min="5" max="5" width="16.7109375" customWidth="1"/>
    <col min="6" max="13" width="11.28515625" bestFit="1" customWidth="1"/>
  </cols>
  <sheetData>
    <row r="1" spans="1:13" s="9" customFormat="1"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</row>
    <row r="2" spans="1:13" s="1" customFormat="1">
      <c r="A2" s="1" t="s">
        <v>26</v>
      </c>
      <c r="B2" s="5">
        <f>Assumptions!$E$4</f>
        <v>50000</v>
      </c>
      <c r="C2" s="5">
        <f>B4*(1+Assumptions!$E$5)</f>
        <v>52920</v>
      </c>
      <c r="D2" s="5">
        <f>C4*(1+Assumptions!$E$5)</f>
        <v>56010.528000000006</v>
      </c>
      <c r="E2" s="5">
        <f>D4*(1+Assumptions!$E$5)</f>
        <v>59281.542835200009</v>
      </c>
      <c r="F2" s="5">
        <f>E4*(1+Assumptions!$E$5)</f>
        <v>62743.584936775689</v>
      </c>
      <c r="G2" s="5">
        <f>F4*(1+Assumptions!$E$5)</f>
        <v>66407.810297083386</v>
      </c>
      <c r="H2" s="5">
        <f>G4*(1+Assumptions!$E$5)</f>
        <v>70286.026418433059</v>
      </c>
      <c r="I2" s="5">
        <f>H4*(1+Assumptions!$E$5)</f>
        <v>74390.730361269554</v>
      </c>
      <c r="J2" s="5">
        <f>I4*(1+Assumptions!$E$5)</f>
        <v>78735.149014367707</v>
      </c>
      <c r="K2" s="5">
        <f>J4*(1+Assumptions!$E$5)</f>
        <v>83333.281716806785</v>
      </c>
      <c r="L2" s="5">
        <f>K4*(1+Assumptions!$E$5)</f>
        <v>88199.9453690683</v>
      </c>
      <c r="M2" s="5">
        <f>L4*(1+Assumptions!$E$5)</f>
        <v>93350.822178621893</v>
      </c>
    </row>
    <row r="3" spans="1:13">
      <c r="A3" t="s">
        <v>27</v>
      </c>
      <c r="B3" s="6">
        <f>-(B2*Assumptions!$E$6)</f>
        <v>-1000</v>
      </c>
      <c r="C3" s="6">
        <f>-(C2*Assumptions!$E$6)</f>
        <v>-1058.4000000000001</v>
      </c>
      <c r="D3" s="6">
        <f>-(D2*Assumptions!$E$6)</f>
        <v>-1120.2105600000002</v>
      </c>
      <c r="E3" s="6">
        <f>-(E2*Assumptions!$E$6)</f>
        <v>-1185.6308567040003</v>
      </c>
      <c r="F3" s="6">
        <f>-(F2*Assumptions!$E$6)</f>
        <v>-1254.8716987355137</v>
      </c>
      <c r="G3" s="6">
        <f>-(G2*Assumptions!$E$6)</f>
        <v>-1328.1562059416678</v>
      </c>
      <c r="H3" s="6">
        <f>-(H2*Assumptions!$E$6)</f>
        <v>-1405.7205283686612</v>
      </c>
      <c r="I3" s="6">
        <f>-(I2*Assumptions!$E$6)</f>
        <v>-1487.814607225391</v>
      </c>
      <c r="J3" s="6">
        <f>-(J2*Assumptions!$E$6)</f>
        <v>-1574.7029802873542</v>
      </c>
      <c r="K3" s="6">
        <f>-(K2*Assumptions!$E$6)</f>
        <v>-1666.6656343361358</v>
      </c>
      <c r="L3" s="6">
        <f>-(L2*Assumptions!$E$6)</f>
        <v>-1763.9989073813661</v>
      </c>
      <c r="M3" s="6">
        <f>-(M2*Assumptions!$E$6)</f>
        <v>-1867.016443572438</v>
      </c>
    </row>
    <row r="4" spans="1:13">
      <c r="A4" t="s">
        <v>28</v>
      </c>
      <c r="B4" s="6">
        <f>B2+B3</f>
        <v>49000</v>
      </c>
      <c r="C4" s="6">
        <f>C2+C3</f>
        <v>51861.599999999999</v>
      </c>
      <c r="D4" s="6">
        <f t="shared" ref="D4:M4" si="0">D2+D3</f>
        <v>54890.317440000006</v>
      </c>
      <c r="E4" s="6">
        <f t="shared" si="0"/>
        <v>58095.911978496006</v>
      </c>
      <c r="F4" s="6">
        <f t="shared" si="0"/>
        <v>61488.713238040174</v>
      </c>
      <c r="G4" s="6">
        <f t="shared" si="0"/>
        <v>65079.654091141718</v>
      </c>
      <c r="H4" s="6">
        <f t="shared" si="0"/>
        <v>68880.305890064395</v>
      </c>
      <c r="I4" s="6">
        <f t="shared" si="0"/>
        <v>72902.915754044167</v>
      </c>
      <c r="J4" s="6">
        <f t="shared" si="0"/>
        <v>77160.446034080349</v>
      </c>
      <c r="K4" s="6">
        <f t="shared" si="0"/>
        <v>81666.616082470646</v>
      </c>
      <c r="L4" s="6">
        <f t="shared" si="0"/>
        <v>86435.946461686937</v>
      </c>
      <c r="M4" s="6">
        <f t="shared" si="0"/>
        <v>91483.805735049449</v>
      </c>
    </row>
    <row r="5" spans="1:13">
      <c r="A5" t="s">
        <v>29</v>
      </c>
      <c r="B5" s="6">
        <f>-(B4*(Assumptions!$E$7+0))</f>
        <v>-9800</v>
      </c>
      <c r="C5" s="6">
        <f>-(C4*(Assumptions!$E$7+0.001))</f>
        <v>-10424.1816</v>
      </c>
      <c r="D5" s="6">
        <f>-(D4*(Assumptions!$E$7+0.002))</f>
        <v>-11087.844122880002</v>
      </c>
      <c r="E5" s="6">
        <f>-(E4*(Assumptions!$E$7+0.003))</f>
        <v>-11793.470131634689</v>
      </c>
      <c r="F5" s="6">
        <f>-(F4*(Assumptions!$E$7+0.004))</f>
        <v>-12543.697500560196</v>
      </c>
      <c r="G5" s="6">
        <f>-(G4*(Assumptions!$E$7+0.005))</f>
        <v>-13341.329088684053</v>
      </c>
      <c r="H5" s="6">
        <f>-(H4*(Assumptions!$E$7+0.006))</f>
        <v>-14189.343013353267</v>
      </c>
      <c r="I5" s="6">
        <f>-(I4*(Assumptions!$E$7+0.007))</f>
        <v>-15090.903561087143</v>
      </c>
      <c r="J5" s="6">
        <f>-(J4*(Assumptions!$E$7+0.008))</f>
        <v>-16049.372775088714</v>
      </c>
      <c r="K5" s="6">
        <f>-(K4*(Assumptions!$E$7+0.009))</f>
        <v>-17068.322761236366</v>
      </c>
      <c r="L5" s="6">
        <f>-(L4*(Assumptions!$E$7+0.01))</f>
        <v>-18151.54875695426</v>
      </c>
      <c r="M5" s="6">
        <f>-(M4*(Assumptions!$E$7+0.011))</f>
        <v>-19303.083010095437</v>
      </c>
    </row>
    <row r="6" spans="1:13" s="10" customFormat="1">
      <c r="A6" s="10" t="s">
        <v>30</v>
      </c>
      <c r="B6" s="11">
        <f>B4+B5</f>
        <v>39200</v>
      </c>
      <c r="C6" s="11">
        <f>C4+C5</f>
        <v>41437.418399999995</v>
      </c>
      <c r="D6" s="11">
        <f t="shared" ref="D6:M6" si="1">D4+D5</f>
        <v>43802.473317120006</v>
      </c>
      <c r="E6" s="11">
        <f t="shared" si="1"/>
        <v>46302.441846861315</v>
      </c>
      <c r="F6" s="11">
        <f t="shared" si="1"/>
        <v>48945.015737479975</v>
      </c>
      <c r="G6" s="11">
        <f t="shared" si="1"/>
        <v>51738.325002457663</v>
      </c>
      <c r="H6" s="11">
        <f t="shared" si="1"/>
        <v>54690.962876711128</v>
      </c>
      <c r="I6" s="11">
        <f t="shared" si="1"/>
        <v>57812.012192957023</v>
      </c>
      <c r="J6" s="11">
        <f t="shared" si="1"/>
        <v>61111.073258991637</v>
      </c>
      <c r="K6" s="11">
        <f t="shared" si="1"/>
        <v>64598.293321234276</v>
      </c>
      <c r="L6" s="11">
        <f t="shared" si="1"/>
        <v>68284.397704732677</v>
      </c>
      <c r="M6" s="11">
        <f t="shared" si="1"/>
        <v>72180.722724954016</v>
      </c>
    </row>
    <row r="7" spans="1:1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t="s">
        <v>31</v>
      </c>
      <c r="B8" s="6">
        <f>-Assumptions!$E$8</f>
        <v>-8000</v>
      </c>
      <c r="C8" s="6">
        <f>-Assumptions!$E$8</f>
        <v>-8000</v>
      </c>
      <c r="D8" s="6">
        <f>-Assumptions!$E$8</f>
        <v>-8000</v>
      </c>
      <c r="E8" s="6">
        <f>-Assumptions!$E$8</f>
        <v>-8000</v>
      </c>
      <c r="F8" s="6">
        <f>-Assumptions!$E$8</f>
        <v>-8000</v>
      </c>
      <c r="G8" s="6">
        <f>-Assumptions!$E$8</f>
        <v>-8000</v>
      </c>
      <c r="H8" s="6">
        <f>-Assumptions!$E$8</f>
        <v>-8000</v>
      </c>
      <c r="I8" s="6">
        <f>-Assumptions!$E$8</f>
        <v>-8000</v>
      </c>
      <c r="J8" s="6">
        <f>-Assumptions!$E$8</f>
        <v>-8000</v>
      </c>
      <c r="K8" s="6">
        <f>-Assumptions!$E$8</f>
        <v>-8000</v>
      </c>
      <c r="L8" s="6">
        <f>-Assumptions!$E$8</f>
        <v>-8000</v>
      </c>
      <c r="M8" s="6">
        <f>-Assumptions!$E$8</f>
        <v>-8000</v>
      </c>
    </row>
    <row r="9" spans="1:13">
      <c r="A9" t="s">
        <v>32</v>
      </c>
      <c r="B9" s="6">
        <f>-Assumptions!$E$9</f>
        <v>-10000</v>
      </c>
      <c r="C9" s="6">
        <f>-Assumptions!$E$9</f>
        <v>-10000</v>
      </c>
      <c r="D9" s="6">
        <f>-Assumptions!$E$9</f>
        <v>-10000</v>
      </c>
      <c r="E9" s="6">
        <f>-Assumptions!$E$9</f>
        <v>-10000</v>
      </c>
      <c r="F9" s="6">
        <f>-Assumptions!$E$9</f>
        <v>-10000</v>
      </c>
      <c r="G9" s="6">
        <f>-Assumptions!$E$9</f>
        <v>-10000</v>
      </c>
      <c r="H9" s="6">
        <f>-Assumptions!$E$9</f>
        <v>-10000</v>
      </c>
      <c r="I9" s="6">
        <f>-Assumptions!$E$9</f>
        <v>-10000</v>
      </c>
      <c r="J9" s="6">
        <f>-Assumptions!$E$9</f>
        <v>-10000</v>
      </c>
      <c r="K9" s="6">
        <f>-Assumptions!$E$9</f>
        <v>-10000</v>
      </c>
      <c r="L9" s="6">
        <f>-Assumptions!$E$9</f>
        <v>-10000</v>
      </c>
      <c r="M9" s="6">
        <f>-Assumptions!$E$9</f>
        <v>-10000</v>
      </c>
    </row>
    <row r="10" spans="1:13">
      <c r="A10" t="s">
        <v>33</v>
      </c>
      <c r="B10" s="6">
        <f>-Assumptions!$E$10</f>
        <v>-5000</v>
      </c>
      <c r="C10" s="6">
        <f>-Assumptions!$E$10</f>
        <v>-5000</v>
      </c>
      <c r="D10" s="6">
        <f>-Assumptions!$E$10</f>
        <v>-5000</v>
      </c>
      <c r="E10" s="6">
        <f>-Assumptions!$E$10</f>
        <v>-5000</v>
      </c>
      <c r="F10" s="6">
        <f>-Assumptions!$E$10</f>
        <v>-5000</v>
      </c>
      <c r="G10" s="6">
        <f>-Assumptions!$E$10</f>
        <v>-5000</v>
      </c>
      <c r="H10" s="6">
        <f>-Assumptions!$E$10</f>
        <v>-5000</v>
      </c>
      <c r="I10" s="6">
        <f>-Assumptions!$E$10</f>
        <v>-5000</v>
      </c>
      <c r="J10" s="6">
        <f>-Assumptions!$E$10</f>
        <v>-5000</v>
      </c>
      <c r="K10" s="6">
        <f>-Assumptions!$E$10</f>
        <v>-5000</v>
      </c>
      <c r="L10" s="6">
        <f>-Assumptions!$E$10</f>
        <v>-5000</v>
      </c>
      <c r="M10" s="6">
        <f>-Assumptions!$E$10</f>
        <v>-5000</v>
      </c>
    </row>
    <row r="11" spans="1:13">
      <c r="A11" t="s">
        <v>34</v>
      </c>
      <c r="B11" s="6">
        <f>SUM(B8:B10)</f>
        <v>-23000</v>
      </c>
      <c r="C11" s="6">
        <f>SUM(C8:C10)</f>
        <v>-23000</v>
      </c>
      <c r="D11" s="6">
        <f t="shared" ref="D11:M11" si="2">SUM(D8:D10)</f>
        <v>-23000</v>
      </c>
      <c r="E11" s="6">
        <f t="shared" si="2"/>
        <v>-23000</v>
      </c>
      <c r="F11" s="6">
        <f t="shared" si="2"/>
        <v>-23000</v>
      </c>
      <c r="G11" s="6">
        <f t="shared" si="2"/>
        <v>-23000</v>
      </c>
      <c r="H11" s="6">
        <f t="shared" si="2"/>
        <v>-23000</v>
      </c>
      <c r="I11" s="6">
        <f t="shared" si="2"/>
        <v>-23000</v>
      </c>
      <c r="J11" s="6">
        <f t="shared" si="2"/>
        <v>-23000</v>
      </c>
      <c r="K11" s="6">
        <f t="shared" si="2"/>
        <v>-23000</v>
      </c>
      <c r="L11" s="6">
        <f t="shared" si="2"/>
        <v>-23000</v>
      </c>
      <c r="M11" s="6">
        <f t="shared" si="2"/>
        <v>-23000</v>
      </c>
    </row>
    <row r="12" spans="1:1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s="7" customFormat="1">
      <c r="A13" s="7" t="s">
        <v>35</v>
      </c>
      <c r="B13" s="8">
        <f>B6+B11</f>
        <v>16200</v>
      </c>
      <c r="C13" s="8">
        <f>C6+C11</f>
        <v>18437.418399999995</v>
      </c>
      <c r="D13" s="8">
        <f t="shared" ref="D13:M13" si="3">D6+D11</f>
        <v>20802.473317120006</v>
      </c>
      <c r="E13" s="8">
        <f t="shared" si="3"/>
        <v>23302.441846861315</v>
      </c>
      <c r="F13" s="8">
        <f t="shared" si="3"/>
        <v>25945.015737479975</v>
      </c>
      <c r="G13" s="8">
        <f t="shared" si="3"/>
        <v>28738.325002457663</v>
      </c>
      <c r="H13" s="8">
        <f t="shared" si="3"/>
        <v>31690.962876711128</v>
      </c>
      <c r="I13" s="8">
        <f t="shared" si="3"/>
        <v>34812.012192957023</v>
      </c>
      <c r="J13" s="8">
        <f t="shared" si="3"/>
        <v>38111.073258991637</v>
      </c>
      <c r="K13" s="8">
        <f t="shared" si="3"/>
        <v>41598.293321234276</v>
      </c>
      <c r="L13" s="8">
        <f t="shared" si="3"/>
        <v>45284.397704732677</v>
      </c>
      <c r="M13" s="8">
        <f t="shared" si="3"/>
        <v>49180.722724954016</v>
      </c>
    </row>
    <row r="14" spans="1:13">
      <c r="A14" t="s">
        <v>36</v>
      </c>
      <c r="B14" s="6">
        <f>IF(B13&gt;0,-(B13*Assumptions!$E$11),0)</f>
        <v>-3078</v>
      </c>
      <c r="C14" s="6">
        <f>IF(C13&gt;0,-(C13*Assumptions!$E$11),0)</f>
        <v>-3503.1094959999991</v>
      </c>
      <c r="D14" s="6">
        <f>IF(D13&gt;0,-(D13*Assumptions!$E$11),0)</f>
        <v>-3952.4699302528011</v>
      </c>
      <c r="E14" s="6">
        <f>IF(E13&gt;0,-(E13*Assumptions!$E$11),0)</f>
        <v>-4427.4639509036497</v>
      </c>
      <c r="F14" s="6">
        <f>IF(F13&gt;0,-(F13*Assumptions!$E$11),0)</f>
        <v>-4929.5529901211949</v>
      </c>
      <c r="G14" s="6">
        <f>IF(G13&gt;0,-(G13*Assumptions!$E$11),0)</f>
        <v>-5460.2817504669556</v>
      </c>
      <c r="H14" s="6">
        <f>IF(H13&gt;0,-(H13*Assumptions!$E$11),0)</f>
        <v>-6021.2829465751147</v>
      </c>
      <c r="I14" s="6">
        <f>IF(I13&gt;0,-(I13*Assumptions!$E$11),0)</f>
        <v>-6614.2823166618346</v>
      </c>
      <c r="J14" s="6">
        <f>IF(J13&gt;0,-(J13*Assumptions!$E$11),0)</f>
        <v>-7241.1039192084108</v>
      </c>
      <c r="K14" s="6">
        <f>IF(K13&gt;0,-(K13*Assumptions!$E$11),0)</f>
        <v>-7903.6757310345129</v>
      </c>
      <c r="L14" s="6">
        <f>IF(L13&gt;0,-(L13*Assumptions!$E$11),0)</f>
        <v>-8604.0355638992096</v>
      </c>
      <c r="M14" s="6">
        <f>IF(M13&gt;0,-(M13*Assumptions!$E$11),0)</f>
        <v>-9344.3373177412632</v>
      </c>
    </row>
    <row r="15" spans="1:13" s="7" customFormat="1">
      <c r="A15" s="7" t="s">
        <v>37</v>
      </c>
      <c r="B15" s="8">
        <f>B13+B14</f>
        <v>13122</v>
      </c>
      <c r="C15" s="8">
        <f>C13+C14</f>
        <v>14934.308903999996</v>
      </c>
      <c r="D15" s="8">
        <f t="shared" ref="D15:M15" si="4">D13+D14</f>
        <v>16850.003386867204</v>
      </c>
      <c r="E15" s="8">
        <f t="shared" si="4"/>
        <v>18874.977895957665</v>
      </c>
      <c r="F15" s="8">
        <f t="shared" si="4"/>
        <v>21015.462747358779</v>
      </c>
      <c r="G15" s="8">
        <f t="shared" si="4"/>
        <v>23278.043251990708</v>
      </c>
      <c r="H15" s="8">
        <f t="shared" si="4"/>
        <v>25669.679930136015</v>
      </c>
      <c r="I15" s="8">
        <f t="shared" si="4"/>
        <v>28197.72987629519</v>
      </c>
      <c r="J15" s="8">
        <f t="shared" si="4"/>
        <v>30869.969339783227</v>
      </c>
      <c r="K15" s="8">
        <f t="shared" si="4"/>
        <v>33694.617590199763</v>
      </c>
      <c r="L15" s="8">
        <f t="shared" si="4"/>
        <v>36680.362140833466</v>
      </c>
      <c r="M15" s="8">
        <f t="shared" si="4"/>
        <v>39836.385407212751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BF03-97EA-4021-AF6D-E1A0470EC4E7}">
  <dimension ref="A1:M18"/>
  <sheetViews>
    <sheetView workbookViewId="0">
      <selection activeCell="E25" sqref="E25"/>
    </sheetView>
  </sheetViews>
  <sheetFormatPr defaultRowHeight="15"/>
  <cols>
    <col min="1" max="1" width="25.140625" bestFit="1" customWidth="1"/>
    <col min="2" max="13" width="11.7109375" bestFit="1" customWidth="1"/>
  </cols>
  <sheetData>
    <row r="1" spans="1:13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>
      <c r="A2" s="9" t="s">
        <v>38</v>
      </c>
    </row>
    <row r="3" spans="1:13">
      <c r="A3" t="s">
        <v>37</v>
      </c>
      <c r="B3" s="6">
        <f>'P&amp;L'!B15</f>
        <v>13122</v>
      </c>
      <c r="C3" s="6">
        <f>'P&amp;L'!C15</f>
        <v>14934.308903999996</v>
      </c>
      <c r="D3" s="6">
        <f>'P&amp;L'!D15</f>
        <v>16850.003386867204</v>
      </c>
      <c r="E3" s="6">
        <f>'P&amp;L'!E15</f>
        <v>18874.977895957665</v>
      </c>
      <c r="F3" s="6">
        <f>'P&amp;L'!F15</f>
        <v>21015.462747358779</v>
      </c>
      <c r="G3" s="6">
        <f>'P&amp;L'!G15</f>
        <v>23278.043251990708</v>
      </c>
      <c r="H3" s="6">
        <f>'P&amp;L'!H15</f>
        <v>25669.679930136015</v>
      </c>
      <c r="I3" s="6">
        <f>'P&amp;L'!I15</f>
        <v>28197.72987629519</v>
      </c>
      <c r="J3" s="6">
        <f>'P&amp;L'!J15</f>
        <v>30869.969339783227</v>
      </c>
      <c r="K3" s="6">
        <f>'P&amp;L'!K15</f>
        <v>33694.617590199763</v>
      </c>
      <c r="L3" s="6">
        <f>'P&amp;L'!L15</f>
        <v>36680.362140833466</v>
      </c>
      <c r="M3" s="6">
        <f>'P&amp;L'!M15</f>
        <v>39836.385407212751</v>
      </c>
    </row>
    <row r="4" spans="1:13">
      <c r="A4" t="s">
        <v>39</v>
      </c>
      <c r="B4" s="6">
        <f>500</f>
        <v>500</v>
      </c>
      <c r="C4" s="6">
        <f>500</f>
        <v>500</v>
      </c>
      <c r="D4" s="6">
        <f>500</f>
        <v>500</v>
      </c>
      <c r="E4" s="6">
        <f>500</f>
        <v>500</v>
      </c>
      <c r="F4" s="6">
        <f>500</f>
        <v>500</v>
      </c>
      <c r="G4" s="6">
        <f>500</f>
        <v>500</v>
      </c>
      <c r="H4" s="6">
        <f>500</f>
        <v>500</v>
      </c>
      <c r="I4" s="6">
        <f>500</f>
        <v>500</v>
      </c>
      <c r="J4" s="6">
        <f>500</f>
        <v>500</v>
      </c>
      <c r="K4" s="6">
        <f>500</f>
        <v>500</v>
      </c>
      <c r="L4" s="6">
        <f>500</f>
        <v>500</v>
      </c>
      <c r="M4" s="6">
        <f>500</f>
        <v>500</v>
      </c>
    </row>
    <row r="5" spans="1:13">
      <c r="A5" t="s">
        <v>40</v>
      </c>
      <c r="B5" s="6">
        <f>-200</f>
        <v>-200</v>
      </c>
      <c r="C5" s="6">
        <f>-200</f>
        <v>-200</v>
      </c>
      <c r="D5" s="6">
        <f t="shared" ref="D5:M5" si="0">-200</f>
        <v>-200</v>
      </c>
      <c r="E5" s="6">
        <f t="shared" si="0"/>
        <v>-200</v>
      </c>
      <c r="F5" s="6">
        <f t="shared" si="0"/>
        <v>-200</v>
      </c>
      <c r="G5" s="6">
        <f t="shared" si="0"/>
        <v>-200</v>
      </c>
      <c r="H5" s="6">
        <f t="shared" si="0"/>
        <v>-200</v>
      </c>
      <c r="I5" s="6">
        <f t="shared" si="0"/>
        <v>-200</v>
      </c>
      <c r="J5" s="6">
        <f t="shared" si="0"/>
        <v>-200</v>
      </c>
      <c r="K5" s="6">
        <f t="shared" si="0"/>
        <v>-200</v>
      </c>
      <c r="L5" s="6">
        <f t="shared" si="0"/>
        <v>-200</v>
      </c>
      <c r="M5" s="6">
        <f t="shared" si="0"/>
        <v>-200</v>
      </c>
    </row>
    <row r="6" spans="1:13" s="1" customFormat="1">
      <c r="A6" s="1" t="s">
        <v>41</v>
      </c>
      <c r="B6" s="5">
        <f>SUM(B3:B5)</f>
        <v>13422</v>
      </c>
      <c r="C6" s="5">
        <f>SUM(C3:C5)</f>
        <v>15234.308903999996</v>
      </c>
      <c r="D6" s="5">
        <f t="shared" ref="D6:M6" si="1">SUM(D3:D5)</f>
        <v>17150.003386867204</v>
      </c>
      <c r="E6" s="5">
        <f t="shared" si="1"/>
        <v>19174.977895957665</v>
      </c>
      <c r="F6" s="5">
        <f t="shared" si="1"/>
        <v>21315.462747358779</v>
      </c>
      <c r="G6" s="5">
        <f t="shared" si="1"/>
        <v>23578.043251990708</v>
      </c>
      <c r="H6" s="5">
        <f t="shared" si="1"/>
        <v>25969.679930136015</v>
      </c>
      <c r="I6" s="5">
        <f t="shared" si="1"/>
        <v>28497.72987629519</v>
      </c>
      <c r="J6" s="5">
        <f t="shared" si="1"/>
        <v>31169.969339783227</v>
      </c>
      <c r="K6" s="5">
        <f t="shared" si="1"/>
        <v>33994.617590199763</v>
      </c>
      <c r="L6" s="5">
        <f t="shared" si="1"/>
        <v>36980.362140833466</v>
      </c>
      <c r="M6" s="5">
        <f t="shared" si="1"/>
        <v>40136.385407212751</v>
      </c>
    </row>
    <row r="7" spans="1:1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9" t="s">
        <v>42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>
      <c r="A9" t="s">
        <v>43</v>
      </c>
      <c r="B9" s="6">
        <f>-2000</f>
        <v>-2000</v>
      </c>
      <c r="C9" s="6">
        <f>-2000</f>
        <v>-2000</v>
      </c>
      <c r="D9" s="6">
        <f t="shared" ref="D9:M9" si="2">-2000</f>
        <v>-2000</v>
      </c>
      <c r="E9" s="6">
        <f t="shared" si="2"/>
        <v>-2000</v>
      </c>
      <c r="F9" s="6">
        <f t="shared" si="2"/>
        <v>-2000</v>
      </c>
      <c r="G9" s="6">
        <f t="shared" si="2"/>
        <v>-2000</v>
      </c>
      <c r="H9" s="6">
        <f t="shared" si="2"/>
        <v>-2000</v>
      </c>
      <c r="I9" s="6">
        <f t="shared" si="2"/>
        <v>-2000</v>
      </c>
      <c r="J9" s="6">
        <f t="shared" si="2"/>
        <v>-2000</v>
      </c>
      <c r="K9" s="6">
        <f t="shared" si="2"/>
        <v>-2000</v>
      </c>
      <c r="L9" s="6">
        <f t="shared" si="2"/>
        <v>-2000</v>
      </c>
      <c r="M9" s="6">
        <f t="shared" si="2"/>
        <v>-2000</v>
      </c>
    </row>
    <row r="10" spans="1:13" s="1" customFormat="1">
      <c r="A10" s="1" t="s">
        <v>44</v>
      </c>
      <c r="B10" s="5">
        <f>B9</f>
        <v>-2000</v>
      </c>
      <c r="C10" s="5">
        <f>C9</f>
        <v>-2000</v>
      </c>
      <c r="D10" s="5">
        <f t="shared" ref="D10:M10" si="3">D9</f>
        <v>-2000</v>
      </c>
      <c r="E10" s="5">
        <f t="shared" si="3"/>
        <v>-2000</v>
      </c>
      <c r="F10" s="5">
        <f t="shared" si="3"/>
        <v>-2000</v>
      </c>
      <c r="G10" s="5">
        <f t="shared" si="3"/>
        <v>-2000</v>
      </c>
      <c r="H10" s="5">
        <f t="shared" si="3"/>
        <v>-2000</v>
      </c>
      <c r="I10" s="5">
        <f t="shared" si="3"/>
        <v>-2000</v>
      </c>
      <c r="J10" s="5">
        <f t="shared" si="3"/>
        <v>-2000</v>
      </c>
      <c r="K10" s="5">
        <f t="shared" si="3"/>
        <v>-2000</v>
      </c>
      <c r="L10" s="5">
        <f t="shared" si="3"/>
        <v>-2000</v>
      </c>
      <c r="M10" s="5">
        <f t="shared" si="3"/>
        <v>-2000</v>
      </c>
    </row>
    <row r="11" spans="1:1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9" t="s">
        <v>45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A13" t="s">
        <v>46</v>
      </c>
      <c r="B13" s="6">
        <f>100000</f>
        <v>100000</v>
      </c>
      <c r="C13" s="6">
        <f>0</f>
        <v>0</v>
      </c>
      <c r="D13" s="6">
        <f>0</f>
        <v>0</v>
      </c>
      <c r="E13" s="6">
        <f>0</f>
        <v>0</v>
      </c>
      <c r="F13" s="6">
        <f>0</f>
        <v>0</v>
      </c>
      <c r="G13" s="6">
        <f>0</f>
        <v>0</v>
      </c>
      <c r="H13" s="6">
        <f>0</f>
        <v>0</v>
      </c>
      <c r="I13" s="6">
        <f>0</f>
        <v>0</v>
      </c>
      <c r="J13" s="6">
        <f>0</f>
        <v>0</v>
      </c>
      <c r="K13" s="6">
        <f>0</f>
        <v>0</v>
      </c>
      <c r="L13" s="6">
        <f>0</f>
        <v>0</v>
      </c>
      <c r="M13" s="6">
        <f>0</f>
        <v>0</v>
      </c>
    </row>
    <row r="14" spans="1:13" s="1" customFormat="1">
      <c r="A14" s="1" t="s">
        <v>47</v>
      </c>
      <c r="B14" s="5">
        <f>B13</f>
        <v>100000</v>
      </c>
      <c r="C14" s="5">
        <f>C13</f>
        <v>0</v>
      </c>
      <c r="D14" s="5">
        <f t="shared" ref="D14:M14" si="4">D13</f>
        <v>0</v>
      </c>
      <c r="E14" s="5">
        <f t="shared" si="4"/>
        <v>0</v>
      </c>
      <c r="F14" s="5">
        <f t="shared" si="4"/>
        <v>0</v>
      </c>
      <c r="G14" s="5">
        <f t="shared" si="4"/>
        <v>0</v>
      </c>
      <c r="H14" s="5">
        <f t="shared" si="4"/>
        <v>0</v>
      </c>
      <c r="I14" s="5">
        <f t="shared" si="4"/>
        <v>0</v>
      </c>
      <c r="J14" s="5">
        <f t="shared" si="4"/>
        <v>0</v>
      </c>
      <c r="K14" s="5">
        <f t="shared" si="4"/>
        <v>0</v>
      </c>
      <c r="L14" s="5">
        <f t="shared" si="4"/>
        <v>0</v>
      </c>
      <c r="M14" s="5">
        <f t="shared" si="4"/>
        <v>0</v>
      </c>
    </row>
    <row r="15" spans="1:1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s="1" customFormat="1">
      <c r="A16" s="1" t="s">
        <v>48</v>
      </c>
      <c r="B16" s="5">
        <f>B6+B10+B14</f>
        <v>111422</v>
      </c>
      <c r="C16" s="5">
        <f>C6+C10+C14</f>
        <v>13234.308903999996</v>
      </c>
      <c r="D16" s="5">
        <f t="shared" ref="D16:M16" si="5">D6+D10+D14</f>
        <v>15150.003386867204</v>
      </c>
      <c r="E16" s="5">
        <f t="shared" si="5"/>
        <v>17174.977895957665</v>
      </c>
      <c r="F16" s="5">
        <f t="shared" si="5"/>
        <v>19315.462747358779</v>
      </c>
      <c r="G16" s="5">
        <f t="shared" si="5"/>
        <v>21578.043251990708</v>
      </c>
      <c r="H16" s="5">
        <f t="shared" si="5"/>
        <v>23969.679930136015</v>
      </c>
      <c r="I16" s="5">
        <f t="shared" si="5"/>
        <v>26497.72987629519</v>
      </c>
      <c r="J16" s="5">
        <f t="shared" si="5"/>
        <v>29169.969339783227</v>
      </c>
      <c r="K16" s="5">
        <f t="shared" si="5"/>
        <v>31994.617590199763</v>
      </c>
      <c r="L16" s="5">
        <f t="shared" si="5"/>
        <v>34980.362140833466</v>
      </c>
      <c r="M16" s="5">
        <f t="shared" si="5"/>
        <v>38136.385407212751</v>
      </c>
    </row>
    <row r="17" spans="1:13">
      <c r="A17" t="s">
        <v>49</v>
      </c>
      <c r="B17" s="6">
        <f>0</f>
        <v>0</v>
      </c>
      <c r="C17" s="6">
        <f>B18</f>
        <v>111422</v>
      </c>
      <c r="D17" s="6">
        <f t="shared" ref="D17:M17" si="6">C18</f>
        <v>124656.30890399999</v>
      </c>
      <c r="E17" s="6">
        <f t="shared" si="6"/>
        <v>139806.31229086721</v>
      </c>
      <c r="F17" s="6">
        <f t="shared" si="6"/>
        <v>156981.29018682486</v>
      </c>
      <c r="G17" s="6">
        <f t="shared" si="6"/>
        <v>176296.75293418363</v>
      </c>
      <c r="H17" s="6">
        <f t="shared" si="6"/>
        <v>197874.79618617435</v>
      </c>
      <c r="I17" s="6">
        <f t="shared" si="6"/>
        <v>221844.47611631037</v>
      </c>
      <c r="J17" s="6">
        <f t="shared" si="6"/>
        <v>248342.20599260557</v>
      </c>
      <c r="K17" s="6">
        <f t="shared" si="6"/>
        <v>277512.17533238878</v>
      </c>
      <c r="L17" s="6">
        <f t="shared" si="6"/>
        <v>309506.79292258853</v>
      </c>
      <c r="M17" s="6">
        <f t="shared" si="6"/>
        <v>344487.15506342199</v>
      </c>
    </row>
    <row r="18" spans="1:13" s="1" customFormat="1">
      <c r="A18" s="1" t="s">
        <v>50</v>
      </c>
      <c r="B18" s="5">
        <f>B17+B16</f>
        <v>111422</v>
      </c>
      <c r="C18" s="5">
        <f>C17+C16</f>
        <v>124656.30890399999</v>
      </c>
      <c r="D18" s="5">
        <f t="shared" ref="D18:M18" si="7">D17+D16</f>
        <v>139806.31229086721</v>
      </c>
      <c r="E18" s="5">
        <f t="shared" si="7"/>
        <v>156981.29018682486</v>
      </c>
      <c r="F18" s="5">
        <f t="shared" si="7"/>
        <v>176296.75293418363</v>
      </c>
      <c r="G18" s="5">
        <f t="shared" si="7"/>
        <v>197874.79618617435</v>
      </c>
      <c r="H18" s="5">
        <f t="shared" si="7"/>
        <v>221844.47611631037</v>
      </c>
      <c r="I18" s="5">
        <f t="shared" si="7"/>
        <v>248342.20599260557</v>
      </c>
      <c r="J18" s="5">
        <f t="shared" si="7"/>
        <v>277512.17533238878</v>
      </c>
      <c r="K18" s="5">
        <f t="shared" si="7"/>
        <v>309506.79292258853</v>
      </c>
      <c r="L18" s="5">
        <f t="shared" si="7"/>
        <v>344487.15506342199</v>
      </c>
      <c r="M18" s="5">
        <f t="shared" si="7"/>
        <v>382623.54047063476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1622-3BF1-4A90-9D7D-AB528124F111}">
  <dimension ref="A2:H18"/>
  <sheetViews>
    <sheetView showGridLines="0" tabSelected="1" workbookViewId="0">
      <pane ySplit="1" topLeftCell="A2" activePane="bottomLeft" state="frozen"/>
      <selection pane="bottomLeft" activeCell="H18" sqref="H18"/>
    </sheetView>
  </sheetViews>
  <sheetFormatPr defaultRowHeight="15"/>
  <cols>
    <col min="2" max="2" width="20" bestFit="1" customWidth="1"/>
    <col min="3" max="3" width="11" bestFit="1" customWidth="1"/>
    <col min="4" max="4" width="17.85546875" bestFit="1" customWidth="1"/>
    <col min="6" max="6" width="16.85546875" customWidth="1"/>
    <col min="8" max="8" width="16.7109375" bestFit="1" customWidth="1"/>
  </cols>
  <sheetData>
    <row r="2" spans="1:8">
      <c r="B2" s="13" t="s">
        <v>51</v>
      </c>
      <c r="D2" s="15" t="s">
        <v>52</v>
      </c>
      <c r="F2" s="17" t="s">
        <v>37</v>
      </c>
      <c r="H2" s="19" t="s">
        <v>53</v>
      </c>
    </row>
    <row r="3" spans="1:8" s="12" customFormat="1" ht="21">
      <c r="B3" s="14">
        <f>SUM('P&amp;L'!B4:M4)</f>
        <v>818946.2327050739</v>
      </c>
      <c r="D3" s="16">
        <f>SUM('P&amp;L'!B6:M6)/SUM('P&amp;L'!B4:M4)</f>
        <v>0.79382883811081728</v>
      </c>
      <c r="F3" s="18">
        <f>SUM('P&amp;L'!B15:M15)</f>
        <v>303023.54047063476</v>
      </c>
      <c r="H3" s="20">
        <f>CashFlow!M18</f>
        <v>382623.54047063476</v>
      </c>
    </row>
    <row r="6" spans="1:8" ht="18.75">
      <c r="A6" s="21" t="s">
        <v>54</v>
      </c>
      <c r="B6" s="21" t="s">
        <v>28</v>
      </c>
      <c r="C6" s="21" t="s">
        <v>37</v>
      </c>
      <c r="E6" s="21" t="s">
        <v>54</v>
      </c>
      <c r="F6" s="24" t="s">
        <v>55</v>
      </c>
      <c r="H6" s="26" t="str">
        <f>"Model Scenario: "&amp;Assumptions!C1</f>
        <v>Model Scenario: Best</v>
      </c>
    </row>
    <row r="7" spans="1:8">
      <c r="A7" s="21" t="s">
        <v>14</v>
      </c>
      <c r="B7" s="22">
        <f>'P&amp;L'!B4</f>
        <v>49000</v>
      </c>
      <c r="C7" s="22">
        <f>'P&amp;L'!B15</f>
        <v>13122</v>
      </c>
      <c r="E7" s="21" t="s">
        <v>14</v>
      </c>
      <c r="F7" s="25">
        <f>'P&amp;L'!B6/'P&amp;L'!B4</f>
        <v>0.8</v>
      </c>
    </row>
    <row r="8" spans="1:8">
      <c r="A8" s="21" t="s">
        <v>15</v>
      </c>
      <c r="B8" s="22">
        <f>'P&amp;L'!C4</f>
        <v>51861.599999999999</v>
      </c>
      <c r="C8" s="23">
        <f>'P&amp;L'!C15</f>
        <v>14934.308903999996</v>
      </c>
      <c r="E8" s="21" t="s">
        <v>15</v>
      </c>
      <c r="F8" s="25">
        <f>'P&amp;L'!C6/'P&amp;L'!C4</f>
        <v>0.79899999999999993</v>
      </c>
    </row>
    <row r="9" spans="1:8">
      <c r="A9" s="21" t="s">
        <v>16</v>
      </c>
      <c r="B9" s="22">
        <f>'P&amp;L'!D4</f>
        <v>54890.317440000006</v>
      </c>
      <c r="C9" s="22">
        <f>'P&amp;L'!D15</f>
        <v>16850.003386867204</v>
      </c>
      <c r="E9" s="21" t="s">
        <v>16</v>
      </c>
      <c r="F9" s="25">
        <f>'P&amp;L'!D6/'P&amp;L'!D4</f>
        <v>0.79800000000000004</v>
      </c>
    </row>
    <row r="10" spans="1:8">
      <c r="A10" s="21" t="s">
        <v>17</v>
      </c>
      <c r="B10" s="22">
        <f>'P&amp;L'!E4</f>
        <v>58095.911978496006</v>
      </c>
      <c r="C10" s="22">
        <f>'P&amp;L'!E15</f>
        <v>18874.977895957665</v>
      </c>
      <c r="E10" s="21" t="s">
        <v>17</v>
      </c>
      <c r="F10" s="25">
        <f>'P&amp;L'!E6/'P&amp;L'!E4</f>
        <v>0.79699999999999993</v>
      </c>
    </row>
    <row r="11" spans="1:8">
      <c r="A11" s="21" t="s">
        <v>18</v>
      </c>
      <c r="B11" s="22">
        <f>'P&amp;L'!F4</f>
        <v>61488.713238040174</v>
      </c>
      <c r="C11" s="22">
        <f>'P&amp;L'!F15</f>
        <v>21015.462747358779</v>
      </c>
      <c r="E11" s="21" t="s">
        <v>18</v>
      </c>
      <c r="F11" s="25">
        <f>'P&amp;L'!F6/'P&amp;L'!F4</f>
        <v>0.79599999999999993</v>
      </c>
    </row>
    <row r="12" spans="1:8">
      <c r="A12" s="21" t="s">
        <v>19</v>
      </c>
      <c r="B12" s="22">
        <f>'P&amp;L'!G4</f>
        <v>65079.654091141718</v>
      </c>
      <c r="C12" s="22">
        <f>'P&amp;L'!G15</f>
        <v>23278.043251990708</v>
      </c>
      <c r="E12" s="21" t="s">
        <v>19</v>
      </c>
      <c r="F12" s="25">
        <f>'P&amp;L'!G6/'P&amp;L'!G4</f>
        <v>0.79499999999999993</v>
      </c>
    </row>
    <row r="13" spans="1:8">
      <c r="A13" s="21" t="s">
        <v>20</v>
      </c>
      <c r="B13" s="22">
        <f>'P&amp;L'!H4</f>
        <v>68880.305890064395</v>
      </c>
      <c r="C13" s="22">
        <f>'P&amp;L'!H15</f>
        <v>25669.679930136015</v>
      </c>
      <c r="E13" s="21" t="s">
        <v>20</v>
      </c>
      <c r="F13" s="25">
        <f>'P&amp;L'!H6/'P&amp;L'!H4</f>
        <v>0.79399999999999993</v>
      </c>
    </row>
    <row r="14" spans="1:8">
      <c r="A14" s="21" t="s">
        <v>21</v>
      </c>
      <c r="B14" s="22">
        <f>'P&amp;L'!I4</f>
        <v>72902.915754044167</v>
      </c>
      <c r="C14" s="22">
        <f>'P&amp;L'!I15</f>
        <v>28197.72987629519</v>
      </c>
      <c r="E14" s="21" t="s">
        <v>21</v>
      </c>
      <c r="F14" s="25">
        <f>'P&amp;L'!I6/'P&amp;L'!I4</f>
        <v>0.79300000000000004</v>
      </c>
    </row>
    <row r="15" spans="1:8">
      <c r="A15" s="21" t="s">
        <v>22</v>
      </c>
      <c r="B15" s="22">
        <f>'P&amp;L'!J4</f>
        <v>77160.446034080349</v>
      </c>
      <c r="C15" s="22">
        <f>'P&amp;L'!J15</f>
        <v>30869.969339783227</v>
      </c>
      <c r="E15" s="21" t="s">
        <v>22</v>
      </c>
      <c r="F15" s="25">
        <f>'P&amp;L'!J6/'P&amp;L'!J4</f>
        <v>0.79200000000000004</v>
      </c>
    </row>
    <row r="16" spans="1:8">
      <c r="A16" s="21" t="s">
        <v>23</v>
      </c>
      <c r="B16" s="22">
        <f>'P&amp;L'!K4</f>
        <v>81666.616082470646</v>
      </c>
      <c r="C16" s="22">
        <f>'P&amp;L'!K15</f>
        <v>33694.617590199763</v>
      </c>
      <c r="E16" s="21" t="s">
        <v>23</v>
      </c>
      <c r="F16" s="25">
        <f>'P&amp;L'!K6/'P&amp;L'!K4</f>
        <v>0.79099999999999993</v>
      </c>
    </row>
    <row r="17" spans="1:6">
      <c r="A17" s="21" t="s">
        <v>24</v>
      </c>
      <c r="B17" s="22">
        <f>'P&amp;L'!L4</f>
        <v>86435.946461686937</v>
      </c>
      <c r="C17" s="22">
        <f>'P&amp;L'!L15</f>
        <v>36680.362140833466</v>
      </c>
      <c r="E17" s="21" t="s">
        <v>24</v>
      </c>
      <c r="F17" s="25">
        <f>'P&amp;L'!L6/'P&amp;L'!L4</f>
        <v>0.78999999999999992</v>
      </c>
    </row>
    <row r="18" spans="1:6">
      <c r="A18" s="21" t="s">
        <v>25</v>
      </c>
      <c r="B18" s="22">
        <f>'P&amp;L'!M4</f>
        <v>91483.805735049449</v>
      </c>
      <c r="C18" s="22">
        <f>'P&amp;L'!M15</f>
        <v>39836.385407212751</v>
      </c>
      <c r="E18" s="21" t="s">
        <v>25</v>
      </c>
      <c r="F18" s="25">
        <f>'P&amp;L'!M6/'P&amp;L'!M4</f>
        <v>0.78900000000000003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EC4E-8408-4F4A-ACB3-59EC36BA53F6}">
  <dimension ref="A1:F15"/>
  <sheetViews>
    <sheetView workbookViewId="0">
      <selection activeCell="C39" sqref="C39"/>
    </sheetView>
  </sheetViews>
  <sheetFormatPr defaultRowHeight="15"/>
  <cols>
    <col min="1" max="1" width="44.42578125" customWidth="1"/>
    <col min="2" max="3" width="12.42578125" bestFit="1" customWidth="1"/>
    <col min="4" max="5" width="11.7109375" bestFit="1" customWidth="1"/>
    <col min="6" max="6" width="12" customWidth="1"/>
  </cols>
  <sheetData>
    <row r="1" spans="1:6">
      <c r="A1" s="21"/>
      <c r="B1" s="21" t="s">
        <v>56</v>
      </c>
      <c r="C1" s="21" t="s">
        <v>57</v>
      </c>
      <c r="D1" s="21" t="s">
        <v>58</v>
      </c>
      <c r="E1" s="21" t="s">
        <v>59</v>
      </c>
      <c r="F1" s="21" t="s">
        <v>60</v>
      </c>
    </row>
    <row r="2" spans="1:6">
      <c r="A2" s="21" t="s">
        <v>26</v>
      </c>
      <c r="B2" s="22">
        <f>SUM('P&amp;L'!B4:M4)</f>
        <v>818946.2327050739</v>
      </c>
      <c r="C2" s="22">
        <f>B2*0.93</f>
        <v>761619.99641571881</v>
      </c>
      <c r="D2" s="22">
        <f>C2-B2</f>
        <v>-57326.236289355089</v>
      </c>
      <c r="E2" s="30">
        <f>D2/B2</f>
        <v>-6.9999999999999896E-2</v>
      </c>
      <c r="F2" s="22">
        <f>IF(A2="Revenue",D2,-D2)</f>
        <v>-57326.236289355089</v>
      </c>
    </row>
    <row r="3" spans="1:6">
      <c r="A3" s="21" t="s">
        <v>29</v>
      </c>
      <c r="B3" s="22">
        <f>SUM('P&amp;L'!B5:M5)</f>
        <v>-168843.09632157412</v>
      </c>
      <c r="C3" s="22">
        <f>B3*1.08</f>
        <v>-182350.54402730006</v>
      </c>
      <c r="D3" s="22">
        <f t="shared" ref="D3:D7" si="0">C3-B3</f>
        <v>-13507.447705725936</v>
      </c>
      <c r="E3" s="30">
        <f t="shared" ref="E3:E7" si="1">D3/B3</f>
        <v>8.0000000000000029E-2</v>
      </c>
      <c r="F3" s="22">
        <f t="shared" ref="F3:F7" si="2">IF(A3="Revenue",D3,-D3)</f>
        <v>13507.447705725936</v>
      </c>
    </row>
    <row r="4" spans="1:6">
      <c r="A4" s="21" t="s">
        <v>30</v>
      </c>
      <c r="B4" s="22">
        <f>SUM('P&amp;L'!B6:M6)</f>
        <v>650103.13638349983</v>
      </c>
      <c r="C4" s="22">
        <f>C2+C3</f>
        <v>579269.45238841872</v>
      </c>
      <c r="D4" s="22">
        <f t="shared" si="0"/>
        <v>-70833.683995081112</v>
      </c>
      <c r="E4" s="30">
        <f t="shared" si="1"/>
        <v>-0.10895761000189343</v>
      </c>
      <c r="F4" s="22">
        <f t="shared" si="2"/>
        <v>70833.683995081112</v>
      </c>
    </row>
    <row r="5" spans="1:6">
      <c r="A5" s="21" t="s">
        <v>34</v>
      </c>
      <c r="B5" s="22">
        <f>SUM('P&amp;L'!B11:M11)</f>
        <v>-276000</v>
      </c>
      <c r="C5" s="22">
        <f>B5*1.05</f>
        <v>-289800</v>
      </c>
      <c r="D5" s="22">
        <f t="shared" si="0"/>
        <v>-13800</v>
      </c>
      <c r="E5" s="30">
        <f t="shared" si="1"/>
        <v>0.05</v>
      </c>
      <c r="F5" s="22">
        <f t="shared" si="2"/>
        <v>13800</v>
      </c>
    </row>
    <row r="6" spans="1:6">
      <c r="A6" s="21" t="s">
        <v>35</v>
      </c>
      <c r="B6" s="22">
        <f>SUM('P&amp;L'!B13:M13)</f>
        <v>374103.13638349972</v>
      </c>
      <c r="C6" s="22">
        <f>C4+C5</f>
        <v>289469.45238841872</v>
      </c>
      <c r="D6" s="22">
        <f t="shared" si="0"/>
        <v>-84633.683995080995</v>
      </c>
      <c r="E6" s="30">
        <f t="shared" si="1"/>
        <v>-0.22623088598840699</v>
      </c>
      <c r="F6" s="22">
        <f t="shared" si="2"/>
        <v>84633.683995080995</v>
      </c>
    </row>
    <row r="7" spans="1:6">
      <c r="A7" s="21" t="s">
        <v>37</v>
      </c>
      <c r="B7" s="22">
        <f>SUM('P&amp;L'!B15:M15)</f>
        <v>303023.54047063476</v>
      </c>
      <c r="C7" s="22">
        <f>C6-(C6*Assumptions!$E$11)</f>
        <v>234470.25643461916</v>
      </c>
      <c r="D7" s="22">
        <f t="shared" si="0"/>
        <v>-68553.284036015597</v>
      </c>
      <c r="E7" s="30">
        <f t="shared" si="1"/>
        <v>-0.22623088598840696</v>
      </c>
      <c r="F7" s="22">
        <f t="shared" si="2"/>
        <v>68553.284036015597</v>
      </c>
    </row>
    <row r="10" spans="1:6" ht="37.5">
      <c r="A10" s="27" t="s">
        <v>61</v>
      </c>
    </row>
    <row r="11" spans="1:6">
      <c r="A11" s="28"/>
      <c r="B11" s="29" t="s">
        <v>62</v>
      </c>
      <c r="C11" s="29" t="s">
        <v>63</v>
      </c>
      <c r="D11" s="29" t="s">
        <v>64</v>
      </c>
      <c r="E11" s="29" t="s">
        <v>65</v>
      </c>
    </row>
    <row r="12" spans="1:6">
      <c r="A12" s="28" t="s">
        <v>66</v>
      </c>
      <c r="B12" s="6" cm="1">
        <f t="array" aca="1" ref="B12" ca="1">SUMPRODUCT((50000*((1+0.02-Assumptions!$E$6)^(ROW(INDIRECT("1:12"))-1)))*(1-0.2))-((Assumptions!$E$8+Assumptions!$E$9+Assumptions!$E$10)*12)</f>
        <v>204000</v>
      </c>
      <c r="C12" s="6" cm="1">
        <f t="array" aca="1" ref="C12" ca="1">SUMPRODUCT((50000*((1+0.02-Assumptions!$E$6)^(ROW(INDIRECT("1:12"))-1)))*(1-0.3))-((Assumptions!$E$8+Assumptions!$E$9+Assumptions!$E$10)*12)</f>
        <v>144000</v>
      </c>
      <c r="D12" s="6" cm="1">
        <f t="array" aca="1" ref="D12" ca="1">SUMPRODUCT((50000*((1+0.02-Assumptions!$E$6)^(ROW(INDIRECT("1:12"))-1)))*(1-0.4))-((Assumptions!$E$8+Assumptions!$E$9+Assumptions!$E$10)*12)</f>
        <v>84000</v>
      </c>
      <c r="E12" s="6" cm="1">
        <f t="array" aca="1" ref="E12" ca="1">SUMPRODUCT((50000*((1+0.02-Assumptions!$E$6)^(ROW(INDIRECT("1:12"))-1)))*(1-0.5))-((Assumptions!$E$8+Assumptions!$E$9+Assumptions!$E$10)*12)</f>
        <v>24000</v>
      </c>
    </row>
    <row r="13" spans="1:6">
      <c r="A13" s="28" t="s">
        <v>67</v>
      </c>
      <c r="B13" s="6" cm="1">
        <f t="array" aca="1" ref="B13" ca="1">SUMPRODUCT((50000*((1+0.05-Assumptions!$E$6)^(ROW(INDIRECT("1:12"))-1)))*(1-0.2))-((Assumptions!$E$8+Assumptions!$E$9+Assumptions!$E$10)*12)</f>
        <v>291681.18246157188</v>
      </c>
      <c r="C13" s="6" cm="1">
        <f t="array" aca="1" ref="C13" ca="1">SUMPRODUCT((50000*((1+0.05-Assumptions!$E$6)^(ROW(INDIRECT("1:12"))-1)))*(1-0.3))-((Assumptions!$E$8+Assumptions!$E$9+Assumptions!$E$10)*12)</f>
        <v>220721.03465387539</v>
      </c>
      <c r="D13" s="6" cm="1">
        <f t="array" aca="1" ref="D13" ca="1">SUMPRODUCT((50000*((1+0.05-Assumptions!$E$6)^(ROW(INDIRECT("1:12"))-1)))*(1-0.4))-((Assumptions!$E$8+Assumptions!$E$9+Assumptions!$E$10)*12)</f>
        <v>149760.88684617891</v>
      </c>
      <c r="E13" s="6" cm="1">
        <f t="array" aca="1" ref="E13" ca="1">SUMPRODUCT((50000*((1+0.05-Assumptions!$E$6)^(ROW(INDIRECT("1:12"))-1)))*(1-0.5))-((Assumptions!$E$8+Assumptions!$E$9+Assumptions!$E$10)*12)</f>
        <v>78800.739038482425</v>
      </c>
    </row>
    <row r="14" spans="1:6">
      <c r="A14" s="28" t="s">
        <v>68</v>
      </c>
      <c r="B14" s="6" cm="1">
        <f t="array" aca="1" ref="B14" ca="1">SUMPRODUCT((50000*((1+0.08-Assumptions!$E$6)^(ROW(INDIRECT("1:12"))-1)))*(1-0.2))-((Assumptions!$E$8+Assumptions!$E$9+Assumptions!$E$10)*12)</f>
        <v>398797.64789036708</v>
      </c>
      <c r="C14" s="6" cm="1">
        <f t="array" aca="1" ref="C14" ca="1">SUMPRODUCT((50000*((1+0.08-Assumptions!$E$6)^(ROW(INDIRECT("1:12"))-1)))*(1-0.3))-((Assumptions!$E$8+Assumptions!$E$9+Assumptions!$E$10)*12)</f>
        <v>314447.94190407125</v>
      </c>
      <c r="D14" s="6" cm="1">
        <f t="array" aca="1" ref="D14" ca="1">SUMPRODUCT((50000*((1+0.08-Assumptions!$E$6)^(ROW(INDIRECT("1:12"))-1)))*(1-0.4))-((Assumptions!$E$8+Assumptions!$E$9+Assumptions!$E$10)*12)</f>
        <v>230098.23591777537</v>
      </c>
      <c r="E14" s="6" cm="1">
        <f t="array" aca="1" ref="E14" ca="1">SUMPRODUCT((50000*((1+0.08-Assumptions!$E$6)^(ROW(INDIRECT("1:12"))-1)))*(1-0.5))-((Assumptions!$E$8+Assumptions!$E$9+Assumptions!$E$10)*12)</f>
        <v>145748.52993147942</v>
      </c>
    </row>
    <row r="15" spans="1:6">
      <c r="A15" s="28" t="s">
        <v>69</v>
      </c>
      <c r="B15" s="6" cm="1">
        <f t="array" aca="1" ref="B15" ca="1">SUMPRODUCT((50000*((1+0.1-Assumptions!$E$6)^(ROW(INDIRECT("1:12"))-1)))*(1-0.2))-((Assumptions!$E$8+Assumptions!$E$9+Assumptions!$E$10)*12)</f>
        <v>483085.05840948946</v>
      </c>
      <c r="C15" s="6" cm="1">
        <f t="array" aca="1" ref="C15" ca="1">SUMPRODUCT((50000*((1+0.1-Assumptions!$E$6)^(ROW(INDIRECT("1:12"))-1)))*(1-0.3))-((Assumptions!$E$8+Assumptions!$E$9+Assumptions!$E$10)*12)</f>
        <v>388199.42610830325</v>
      </c>
      <c r="D15" s="6" cm="1">
        <f t="array" aca="1" ref="D15" ca="1">SUMPRODUCT((50000*((1+0.1-Assumptions!$E$6)^(ROW(INDIRECT("1:12"))-1)))*(1-0.4))-((Assumptions!$E$8+Assumptions!$E$9+Assumptions!$E$10)*12)</f>
        <v>293313.79380711715</v>
      </c>
      <c r="E15" s="6" cm="1">
        <f t="array" aca="1" ref="E15" ca="1">SUMPRODUCT((50000*((1+0.1-Assumptions!$E$6)^(ROW(INDIRECT("1:12"))-1)))*(1-0.5))-((Assumptions!$E$8+Assumptions!$E$9+Assumptions!$E$10)*12)</f>
        <v>198428.16150593082</v>
      </c>
    </row>
  </sheetData>
  <conditionalFormatting sqref="F2:F7">
    <cfRule type="cellIs" dxfId="1" priority="3" operator="greaterThan">
      <formula>0</formula>
    </cfRule>
  </conditionalFormatting>
  <conditionalFormatting sqref="F2:F7">
    <cfRule type="cellIs" dxfId="0" priority="2" operator="lessThan">
      <formula>0</formula>
    </cfRule>
  </conditionalFormatting>
  <conditionalFormatting sqref="B12:E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2026-07-06T13:12:47Z</dcterms:created>
  <dcterms:modified xsi:type="dcterms:W3CDTF">2026-07-07T20:26:20Z</dcterms:modified>
  <cp:category/>
  <cp:contentStatus/>
</cp:coreProperties>
</file>